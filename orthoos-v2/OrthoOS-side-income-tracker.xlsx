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I Platforms" sheetId="2" state="visible" r:id="rId2"/>
    <sheet name="Direct Outreach" sheetId="3" state="visible" r:id="rId3"/>
    <sheet name="Teleconsult Platforms" sheetId="4" state="visible" r:id="rId4"/>
    <sheet name="Weekly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  <xf numFmtId="9" fontId="4" fillId="0" borderId="1" pivotButton="0" quotePrefix="0" xfId="0"/>
    <xf numFmtId="0" fontId="2" fillId="0" borderId="1" pivotButton="0" quotePrefix="0" xfId="0"/>
    <xf numFmtId="9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10" customWidth="1" min="1" max="1"/>
    <col width="14" customWidth="1" min="2" max="2"/>
  </cols>
  <sheetData>
    <row r="1">
      <c r="A1" s="1" t="inlineStr">
        <is>
          <t>OrthoOS side-income tracker</t>
        </is>
      </c>
    </row>
    <row r="3">
      <c r="A3" s="2" t="inlineStr">
        <is>
          <t>Prepared 20 Aug 2026 from the OrthoOS v2 brief (repo: drkhannaaios/orthoos-v2). Decisions applied: biostatistics consulting stream DROPPED; Practo-style teleconsult platforms ADDED to the second-opinion funnel.</t>
        </is>
      </c>
    </row>
    <row r="4">
      <c r="A4" s="2" t="inlineStr"/>
    </row>
    <row r="5">
      <c r="A5" s="3" t="inlineStr">
        <is>
          <t>How to use</t>
        </is>
      </c>
    </row>
    <row r="6">
      <c r="A6" s="2" t="inlineStr">
        <is>
          <t>1. AI Platforms sheet: apply to every row in week 1; update Status weekly (Mon scan / Wed apply / Fri log).</t>
        </is>
      </c>
    </row>
    <row r="7">
      <c r="A7" s="2" t="inlineStr">
        <is>
          <t>2. Direct Outreach sheet: 10 named targets + categories to reach 20. Gmail DRAFTS are prepared for the rows marked 'Draft ready' - VERIFY the recipient address before sending; addresses are best guesses.</t>
        </is>
      </c>
    </row>
    <row r="8">
      <c r="A8" s="2" t="inlineStr">
        <is>
          <t>3. Teleconsult sheet: Practo-style listings for the paid second-opinion service.</t>
        </is>
      </c>
    </row>
    <row r="9">
      <c r="A9" s="2" t="inlineStr">
        <is>
          <t>4. Weekly Metrics sheet: the 8 numbers, filled every Friday.</t>
        </is>
      </c>
    </row>
    <row r="10">
      <c r="A10" s="2" t="inlineStr"/>
    </row>
    <row r="11">
      <c r="A11" s="3" t="inlineStr">
        <is>
          <t>Colour legend</t>
        </is>
      </c>
    </row>
    <row r="12">
      <c r="A12" s="2" t="inlineStr">
        <is>
          <t>Blue text = cells you fill/edit.  Black = fixed or formula.  Yellow fill = key assumption.</t>
        </is>
      </c>
    </row>
    <row r="13">
      <c r="A13" s="2" t="inlineStr"/>
    </row>
    <row r="14">
      <c r="A14" s="3" t="inlineStr">
        <is>
          <t>Kill rule: after 60 days, drop any row whose effective rate is below Rs 4,000/hour of your time.</t>
        </is>
      </c>
    </row>
    <row r="15">
      <c r="A15" s="2" t="inlineStr"/>
    </row>
    <row r="16">
      <c r="A16" s="3" t="inlineStr">
        <is>
          <t>FX assumption (edit to live rate):</t>
        </is>
      </c>
    </row>
    <row r="17">
      <c r="A17" s="4" t="inlineStr">
        <is>
          <t>INR per USD</t>
        </is>
      </c>
      <c r="B17" s="5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16" customWidth="1" min="4" max="4"/>
    <col width="24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6" customWidth="1" min="15" max="15"/>
    <col width="34" customWidth="1" min="16" max="16"/>
  </cols>
  <sheetData>
    <row r="1">
      <c r="A1" s="6" t="inlineStr">
        <is>
          <t>Platform</t>
        </is>
      </c>
      <c r="B1" s="6" t="inlineStr">
        <is>
          <t>Track / role</t>
        </is>
      </c>
      <c r="C1" s="6" t="inlineStr">
        <is>
          <t>URL</t>
        </is>
      </c>
      <c r="D1" s="6" t="inlineStr">
        <is>
          <t>India-eligible</t>
        </is>
      </c>
      <c r="E1" s="6" t="inlineStr">
        <is>
          <t>Advertised rate (USD/h)</t>
        </is>
      </c>
      <c r="F1" s="6" t="inlineStr">
        <is>
          <t>Low Rs/h</t>
        </is>
      </c>
      <c r="G1" s="6" t="inlineStr">
        <is>
          <t>High Rs/h</t>
        </is>
      </c>
      <c r="H1" s="6" t="inlineStr">
        <is>
          <t>Priority</t>
        </is>
      </c>
      <c r="I1" s="6" t="inlineStr">
        <is>
          <t>Status</t>
        </is>
      </c>
      <c r="J1" s="6" t="inlineStr">
        <is>
          <t>Date applied</t>
        </is>
      </c>
      <c r="K1" s="6" t="inlineStr">
        <is>
          <t>Assessment status</t>
        </is>
      </c>
      <c r="L1" s="6" t="inlineStr">
        <is>
          <t>Hours logged (mo)</t>
        </is>
      </c>
      <c r="M1" s="6" t="inlineStr">
        <is>
          <t>Rs earned (mo)</t>
        </is>
      </c>
      <c r="N1" s="6" t="inlineStr">
        <is>
          <t>Effective Rs/h</t>
        </is>
      </c>
      <c r="O1" s="6" t="inlineStr">
        <is>
          <t>Next step</t>
        </is>
      </c>
      <c r="P1" s="6" t="inlineStr">
        <is>
          <t>Notes</t>
        </is>
      </c>
    </row>
    <row r="2">
      <c r="A2" s="7" t="inlineStr">
        <is>
          <t>Mercor</t>
        </is>
      </c>
      <c r="B2" s="7" t="inlineStr">
        <is>
          <t>Healthcare Expert - INTERNATIONAL Physicians track</t>
        </is>
      </c>
      <c r="C2" s="7" t="inlineStr">
        <is>
          <t>work.mercor.com (search: Healthcare Expert - International Physicians)</t>
        </is>
      </c>
      <c r="D2" s="7" t="inlineStr">
        <is>
          <t>YES (verified): MBBS accepted; dedicated international-physician posting; pays India via Stripe</t>
        </is>
      </c>
      <c r="E2" s="7" t="inlineStr">
        <is>
          <t>50-180 healthcare band; $130-400 rates are US/Canada-practising tracks</t>
        </is>
      </c>
      <c r="F2" s="7">
        <f>'Read Me'!$B$17*50</f>
        <v/>
      </c>
      <c r="G2" s="7">
        <f>'Read Me'!$B$17*180</f>
        <v/>
      </c>
      <c r="H2" s="7" t="n">
        <v>1</v>
      </c>
      <c r="I2" s="8" t="inlineStr">
        <is>
          <t>Not applied</t>
        </is>
      </c>
      <c r="J2" s="8" t="inlineStr"/>
      <c r="K2" s="8" t="inlineStr">
        <is>
          <t>3-stage: profile, written sample, 15-min AI video interview (3 attempts); active licence + 5y experience</t>
        </is>
      </c>
      <c r="L2" s="8" t="inlineStr"/>
      <c r="M2" s="8" t="inlineStr"/>
      <c r="N2" s="7">
        <f>IF(L2&gt;0,M2/L2,"")</f>
        <v/>
      </c>
      <c r="O2" s="8" t="inlineStr">
        <is>
          <t>Apply Day 1</t>
        </is>
      </c>
      <c r="P2" s="8" t="inlineStr">
        <is>
          <t>VERIFIED: specialist roles (cardiology etc. $180-400) require US/Canada practice. Apply to the International Physicians track and confirm ITS rate before committing hours</t>
        </is>
      </c>
    </row>
    <row r="3">
      <c r="A3" s="7" t="inlineStr">
        <is>
          <t>Invisible Tech (Meridial)</t>
        </is>
      </c>
      <c r="B3" s="7" t="inlineStr">
        <is>
          <t>Domain expert - healthcare</t>
        </is>
      </c>
      <c r="C3" s="7" t="inlineStr">
        <is>
          <t>meridial.ai/projects</t>
        </is>
      </c>
      <c r="D3" s="7" t="inlineStr">
        <is>
          <t>YES (verified): India in eligible regions (US/CA/UK/EU/MX/BR/IN/JP/KR/SG)</t>
        </is>
      </c>
      <c r="E3" s="7" t="inlineStr">
        <is>
          <t>35-125 domain experts</t>
        </is>
      </c>
      <c r="F3" s="7">
        <f>'Read Me'!$B$17*35</f>
        <v/>
      </c>
      <c r="G3" s="7">
        <f>'Read Me'!$B$17*125</f>
        <v/>
      </c>
      <c r="H3" s="7" t="n">
        <v>2</v>
      </c>
      <c r="I3" s="8" t="inlineStr">
        <is>
          <t>Not applied</t>
        </is>
      </c>
      <c r="J3" s="8" t="inlineStr"/>
      <c r="K3" s="8" t="inlineStr">
        <is>
          <t>Apply at meridial.ai; invitations reviewed ~48h</t>
        </is>
      </c>
      <c r="L3" s="8" t="inlineStr"/>
      <c r="M3" s="8" t="inlineStr"/>
      <c r="N3" s="7">
        <f>IF(L3&gt;0,M3/L3,"")</f>
        <v/>
      </c>
      <c r="O3" s="8" t="inlineStr">
        <is>
          <t>Apply Day 1</t>
        </is>
      </c>
      <c r="P3" s="8" t="inlineStr">
        <is>
          <t>One of only two platforms with India EXPLICITLY listed</t>
        </is>
      </c>
    </row>
    <row r="4">
      <c r="A4" s="7" t="inlineStr">
        <is>
          <t>Alignerr (Labelbox)</t>
        </is>
      </c>
      <c r="B4" s="7" t="inlineStr">
        <is>
          <t>Medical expert</t>
        </is>
      </c>
      <c r="C4" s="7" t="inlineStr">
        <is>
          <t>alignerr.com</t>
        </is>
      </c>
      <c r="D4" s="7" t="inlineStr">
        <is>
          <t>YES (verified): India in published 14-country eligibility set</t>
        </is>
      </c>
      <c r="E4" s="7" t="inlineStr">
        <is>
          <t>30-100 (varies by project)</t>
        </is>
      </c>
      <c r="F4" s="7">
        <f>'Read Me'!$B$17*30</f>
        <v/>
      </c>
      <c r="G4" s="7">
        <f>'Read Me'!$B$17*100</f>
        <v/>
      </c>
      <c r="H4" s="7" t="n">
        <v>2</v>
      </c>
      <c r="I4" s="8" t="inlineStr">
        <is>
          <t>Not applied</t>
        </is>
      </c>
      <c r="J4" s="8" t="inlineStr"/>
      <c r="K4" s="8" t="inlineStr"/>
      <c r="L4" s="8" t="inlineStr"/>
      <c r="M4" s="8" t="inlineStr"/>
      <c r="N4" s="7">
        <f>IF(L4&gt;0,M4/L4,"")</f>
        <v/>
      </c>
      <c r="O4" s="8" t="inlineStr">
        <is>
          <t>Apply Day 1</t>
        </is>
      </c>
      <c r="P4" s="8" t="inlineStr">
        <is>
          <t>India explicitly eligible as a PLATFORM, but individual physician listings are often client-restricted to US-practising/board-certified MDs. Create the profile, then apply ONLY to listings whose requirement reads MD/MBBS-or-equivalent or global; skip any saying US-licensed/board-certified</t>
        </is>
      </c>
    </row>
    <row r="5">
      <c r="A5" s="7" t="inlineStr">
        <is>
          <t>OpenTrain (aggregator)</t>
        </is>
      </c>
      <c r="B5" s="7" t="inlineStr">
        <is>
          <t>Profile + job alerts</t>
        </is>
      </c>
      <c r="C5" s="7" t="inlineStr">
        <is>
          <t>opentrain.ai</t>
        </is>
      </c>
      <c r="D5" s="7" t="inlineStr">
        <is>
          <t>Aggregator - eligibility is per posting</t>
        </is>
      </c>
      <c r="E5" s="7" t="inlineStr">
        <is>
          <t>25-100 clinical postings</t>
        </is>
      </c>
      <c r="F5" s="7">
        <f>'Read Me'!$B$17*25</f>
        <v/>
      </c>
      <c r="G5" s="7">
        <f>'Read Me'!$B$17*100</f>
        <v/>
      </c>
      <c r="H5" s="7" t="n">
        <v>2</v>
      </c>
      <c r="I5" s="8" t="inlineStr">
        <is>
          <t>Not applied</t>
        </is>
      </c>
      <c r="J5" s="8" t="inlineStr"/>
      <c r="K5" s="8" t="inlineStr"/>
      <c r="L5" s="8" t="inlineStr"/>
      <c r="M5" s="8" t="inlineStr"/>
      <c r="N5" s="7">
        <f>IF(L5&gt;0,M5/L5,"")</f>
        <v/>
      </c>
      <c r="O5" s="8" t="inlineStr">
        <is>
          <t>Create profile Day 1</t>
        </is>
      </c>
      <c r="P5" s="8" t="inlineStr">
        <is>
          <t>Weekly Monday scan; filter India-eligible postings</t>
        </is>
      </c>
    </row>
    <row r="6">
      <c r="A6" s="7" t="inlineStr">
        <is>
          <t>Outlier (Scale AI)</t>
        </is>
      </c>
      <c r="B6" s="7" t="inlineStr">
        <is>
          <t>Medical/generalist (radiology track likely US-focused)</t>
        </is>
      </c>
      <c r="C6" s="7" t="inlineStr">
        <is>
          <t>outlier.ai</t>
        </is>
      </c>
      <c r="D6" s="7" t="inlineStr">
        <is>
          <t>PARTIAL (verified): India live (~50 countries) BUT task volume prioritised US/UK/DE; VPN = instant ban</t>
        </is>
      </c>
      <c r="E6" s="7" t="inlineStr">
        <is>
          <t>15-50 generalist; specialty higher where offered</t>
        </is>
      </c>
      <c r="F6" s="7">
        <f>'Read Me'!$B$17*15</f>
        <v/>
      </c>
      <c r="G6" s="7">
        <f>'Read Me'!$B$17*50</f>
        <v/>
      </c>
      <c r="H6" s="7" t="n">
        <v>3</v>
      </c>
      <c r="I6" s="8" t="inlineStr">
        <is>
          <t>Not applied</t>
        </is>
      </c>
      <c r="J6" s="8" t="inlineStr"/>
      <c r="K6" s="8" t="inlineStr">
        <is>
          <t>ID + location verification at onboarding</t>
        </is>
      </c>
      <c r="L6" s="8" t="inlineStr"/>
      <c r="M6" s="8" t="inlineStr"/>
      <c r="N6" s="7">
        <f>IF(L6&gt;0,M6/L6,"")</f>
        <v/>
      </c>
      <c r="O6" s="8" t="inlineStr">
        <is>
          <t>Apply Day 2</t>
        </is>
      </c>
      <c r="P6" s="8" t="inlineStr">
        <is>
          <t>Expect thin task flow from India; keep only if effective rate clears Rs 4k/h</t>
        </is>
      </c>
    </row>
    <row r="7">
      <c r="A7" s="7" t="inlineStr">
        <is>
          <t>Micro1</t>
        </is>
      </c>
      <c r="B7" s="7" t="inlineStr">
        <is>
          <t>Medical expert / evaluator</t>
        </is>
      </c>
      <c r="C7" s="7" t="inlineStr">
        <is>
          <t>micro1.ai/experts</t>
        </is>
      </c>
      <c r="D7" s="7" t="inlineStr">
        <is>
          <t>LIKELY: healthcare domain listed, medical-expert postings live; country set not published</t>
        </is>
      </c>
      <c r="E7" s="7" t="inlineStr">
        <is>
          <t>20-65 evaluator</t>
        </is>
      </c>
      <c r="F7" s="7">
        <f>'Read Me'!$B$17*20</f>
        <v/>
      </c>
      <c r="G7" s="7">
        <f>'Read Me'!$B$17*65</f>
        <v/>
      </c>
      <c r="H7" s="7" t="n">
        <v>3</v>
      </c>
      <c r="I7" s="8" t="inlineStr">
        <is>
          <t>Not applied</t>
        </is>
      </c>
      <c r="J7" s="8" t="inlineStr"/>
      <c r="K7" s="8" t="inlineStr"/>
      <c r="L7" s="8" t="inlineStr"/>
      <c r="M7" s="8" t="inlineStr"/>
      <c r="N7" s="7">
        <f>IF(L7&gt;0,M7/L7,"")</f>
        <v/>
      </c>
      <c r="O7" s="8" t="inlineStr">
        <is>
          <t>Apply Day 2</t>
        </is>
      </c>
      <c r="P7" s="8" t="inlineStr">
        <is>
          <t>Physician feedback reports wide/lower variance</t>
        </is>
      </c>
    </row>
    <row r="8">
      <c r="A8" s="7" t="inlineStr">
        <is>
          <t>Toloka / Mindrift</t>
        </is>
      </c>
      <c r="B8" s="7" t="inlineStr">
        <is>
          <t>Medicine domain</t>
        </is>
      </c>
      <c r="C8" s="7" t="inlineStr">
        <is>
          <t>mindrift.ai</t>
        </is>
      </c>
      <c r="D8" s="7" t="inlineStr">
        <is>
          <t>YES (verified): join from any country</t>
        </is>
      </c>
      <c r="E8" s="7" t="inlineStr">
        <is>
          <t>20-60</t>
        </is>
      </c>
      <c r="F8" s="7">
        <f>'Read Me'!$B$17*20</f>
        <v/>
      </c>
      <c r="G8" s="7">
        <f>'Read Me'!$B$17*60</f>
        <v/>
      </c>
      <c r="H8" s="7" t="n">
        <v>4</v>
      </c>
      <c r="I8" s="8" t="inlineStr">
        <is>
          <t>Not applied</t>
        </is>
      </c>
      <c r="J8" s="8" t="inlineStr"/>
      <c r="K8" s="8" t="inlineStr"/>
      <c r="L8" s="8" t="inlineStr"/>
      <c r="M8" s="8" t="inlineStr"/>
      <c r="N8" s="7">
        <f>IF(L8&gt;0,M8/L8,"")</f>
        <v/>
      </c>
      <c r="O8" s="8" t="inlineStr">
        <is>
          <t>Apply Day 2</t>
        </is>
      </c>
      <c r="P8" s="8" t="inlineStr">
        <is>
          <t>Lower rates - volume filler only if above Rs 4k/h</t>
        </is>
      </c>
    </row>
    <row r="9">
      <c r="A9" s="7" t="inlineStr">
        <is>
          <t>Turing</t>
        </is>
      </c>
      <c r="B9" s="7" t="inlineStr">
        <is>
          <t>Medical SME</t>
        </is>
      </c>
      <c r="C9" s="7" t="inlineStr">
        <is>
          <t>turing.com</t>
        </is>
      </c>
      <c r="D9" s="7" t="inlineStr">
        <is>
          <t>UNVERIFIED for medical roles - check current postings</t>
        </is>
      </c>
      <c r="E9" s="7" t="inlineStr">
        <is>
          <t>varies by project</t>
        </is>
      </c>
      <c r="F9" s="7">
        <f>'Read Me'!$B$17*30</f>
        <v/>
      </c>
      <c r="G9" s="7">
        <f>'Read Me'!$B$17*100</f>
        <v/>
      </c>
      <c r="H9" s="7" t="n">
        <v>4</v>
      </c>
      <c r="I9" s="8" t="inlineStr">
        <is>
          <t>Not applied</t>
        </is>
      </c>
      <c r="J9" s="8" t="inlineStr"/>
      <c r="K9" s="8" t="inlineStr"/>
      <c r="L9" s="8" t="inlineStr"/>
      <c r="M9" s="8" t="inlineStr"/>
      <c r="N9" s="7">
        <f>IF(L9&gt;0,M9/L9,"")</f>
        <v/>
      </c>
      <c r="O9" s="8" t="inlineStr">
        <is>
          <t>Apply Day 3</t>
        </is>
      </c>
      <c r="P9" s="8" t="inlineStr">
        <is>
          <t>No India-specific medical evidence found in research</t>
        </is>
      </c>
    </row>
    <row r="10">
      <c r="A10" s="7" t="inlineStr">
        <is>
          <t>Pareto AI</t>
        </is>
      </c>
      <c r="B10" s="7" t="inlineStr">
        <is>
          <t>AI trainer</t>
        </is>
      </c>
      <c r="C10" s="7" t="inlineStr">
        <is>
          <t>pareto.ai</t>
        </is>
      </c>
      <c r="D10" s="7" t="inlineStr">
        <is>
          <t>UNVERIFIED - rates and countries not published</t>
        </is>
      </c>
      <c r="E10" s="7" t="inlineStr">
        <is>
          <t>35-60 reported</t>
        </is>
      </c>
      <c r="F10" s="7">
        <f>'Read Me'!$B$17*35</f>
        <v/>
      </c>
      <c r="G10" s="7">
        <f>'Read Me'!$B$17*60</f>
        <v/>
      </c>
      <c r="H10" s="7" t="n">
        <v>5</v>
      </c>
      <c r="I10" s="8" t="inlineStr">
        <is>
          <t>Not applied</t>
        </is>
      </c>
      <c r="J10" s="8" t="inlineStr"/>
      <c r="K10" s="8" t="inlineStr"/>
      <c r="L10" s="8" t="inlineStr"/>
      <c r="M10" s="8" t="inlineStr"/>
      <c r="N10" s="7">
        <f>IF(L10&gt;0,M10/L10,"")</f>
        <v/>
      </c>
      <c r="O10" s="8" t="inlineStr">
        <is>
          <t>Apply Day 3 if time</t>
        </is>
      </c>
      <c r="P10" s="8" t="inlineStr"/>
    </row>
    <row r="11">
      <c r="A11" s="7" t="inlineStr">
        <is>
          <t>Sepal AI</t>
        </is>
      </c>
      <c r="B11" s="7" t="inlineStr">
        <is>
          <t>Medical expert</t>
        </is>
      </c>
      <c r="C11" s="7" t="inlineStr">
        <is>
          <t>sepal.ai</t>
        </is>
      </c>
      <c r="D11" s="7" t="inlineStr">
        <is>
          <t>UNVERIFIED - nothing found in research</t>
        </is>
      </c>
      <c r="E11" s="7" t="inlineStr">
        <is>
          <t>unknown</t>
        </is>
      </c>
      <c r="F11" s="7">
        <f>'Read Me'!$B$17*25</f>
        <v/>
      </c>
      <c r="G11" s="7">
        <f>'Read Me'!$B$17*80</f>
        <v/>
      </c>
      <c r="H11" s="7" t="n">
        <v>5</v>
      </c>
      <c r="I11" s="8" t="inlineStr">
        <is>
          <t>Not applied</t>
        </is>
      </c>
      <c r="J11" s="8" t="inlineStr"/>
      <c r="K11" s="8" t="inlineStr"/>
      <c r="L11" s="8" t="inlineStr"/>
      <c r="M11" s="8" t="inlineStr"/>
      <c r="N11" s="7">
        <f>IF(L11&gt;0,M11/L11,"")</f>
        <v/>
      </c>
      <c r="O11" s="8" t="inlineStr">
        <is>
          <t>Skip unless posting found</t>
        </is>
      </c>
      <c r="P11" s="8" t="inlineStr"/>
    </row>
    <row r="12">
      <c r="A12" s="7" t="inlineStr">
        <is>
          <t>Centific</t>
        </is>
      </c>
      <c r="B12" s="7" t="inlineStr">
        <is>
          <t>Healthcare data</t>
        </is>
      </c>
      <c r="C12" s="7" t="inlineStr">
        <is>
          <t>centific.com</t>
        </is>
      </c>
      <c r="D12" s="7" t="inlineStr">
        <is>
          <t>UNVERIFIED</t>
        </is>
      </c>
      <c r="E12" s="7" t="inlineStr">
        <is>
          <t>unknown</t>
        </is>
      </c>
      <c r="F12" s="7">
        <f>'Read Me'!$B$17*20</f>
        <v/>
      </c>
      <c r="G12" s="7">
        <f>'Read Me'!$B$17*60</f>
        <v/>
      </c>
      <c r="H12" s="7" t="n">
        <v>5</v>
      </c>
      <c r="I12" s="8" t="inlineStr">
        <is>
          <t>Not applied</t>
        </is>
      </c>
      <c r="J12" s="8" t="inlineStr"/>
      <c r="K12" s="8" t="inlineStr"/>
      <c r="L12" s="8" t="inlineStr"/>
      <c r="M12" s="8" t="inlineStr"/>
      <c r="N12" s="7">
        <f>IF(L12&gt;0,M12/L12,"")</f>
        <v/>
      </c>
      <c r="O12" s="8" t="inlineStr">
        <is>
          <t>Skip unless posting found</t>
        </is>
      </c>
      <c r="P12" s="8" t="inlineStr"/>
    </row>
    <row r="13">
      <c r="A13" s="7" t="inlineStr">
        <is>
          <t>DataAnnotation</t>
        </is>
      </c>
      <c r="B13" s="7" t="inlineStr">
        <is>
          <t>Medicine track</t>
        </is>
      </c>
      <c r="C13" s="7" t="inlineStr">
        <is>
          <t>dataannotation.tech</t>
        </is>
      </c>
      <c r="D13" s="7" t="inlineStr">
        <is>
          <t>NO (verified): US/CA/UK/IE/AU/NZ only</t>
        </is>
      </c>
      <c r="E13" s="7" t="inlineStr">
        <is>
          <t>40-50+ medical (not accessible from India)</t>
        </is>
      </c>
      <c r="F13" s="7">
        <f>'Read Me'!$B$17*0</f>
        <v/>
      </c>
      <c r="G13" s="7">
        <f>'Read Me'!$B$17*0</f>
        <v/>
      </c>
      <c r="H13" s="7" t="n">
        <v>9</v>
      </c>
      <c r="I13" s="8" t="inlineStr">
        <is>
          <t>NOT ELIGIBLE</t>
        </is>
      </c>
      <c r="J13" s="8" t="inlineStr"/>
      <c r="K13" s="8" t="inlineStr"/>
      <c r="L13" s="8" t="inlineStr"/>
      <c r="M13" s="8" t="inlineStr"/>
      <c r="N13" s="7">
        <f>IF(L13&gt;0,M13/L13,"")</f>
        <v/>
      </c>
      <c r="O13" s="8" t="inlineStr">
        <is>
          <t>Skip</t>
        </is>
      </c>
      <c r="P13" s="8" t="inlineStr">
        <is>
          <t>Removed from plan - India not in eligibility set</t>
        </is>
      </c>
    </row>
    <row r="14">
      <c r="A14" s="7" t="inlineStr">
        <is>
          <t>Handshake AI</t>
        </is>
      </c>
      <c r="B14" s="7" t="inlineStr">
        <is>
          <t>AI tutor / fellowship</t>
        </is>
      </c>
      <c r="C14" s="7" t="inlineStr">
        <is>
          <t>joinhandshake.com/ai</t>
        </is>
      </c>
      <c r="D14" s="7" t="inlineStr">
        <is>
          <t>NO (verified): US-based with US work authorisation only</t>
        </is>
      </c>
      <c r="E14" s="7" t="inlineStr">
        <is>
          <t>up to 125 (not accessible from India)</t>
        </is>
      </c>
      <c r="F14" s="7">
        <f>'Read Me'!$B$17*0</f>
        <v/>
      </c>
      <c r="G14" s="7">
        <f>'Read Me'!$B$17*0</f>
        <v/>
      </c>
      <c r="H14" s="7" t="n">
        <v>9</v>
      </c>
      <c r="I14" s="8" t="inlineStr">
        <is>
          <t>NOT ELIGIBLE</t>
        </is>
      </c>
      <c r="J14" s="8" t="inlineStr"/>
      <c r="K14" s="8" t="inlineStr"/>
      <c r="L14" s="8" t="inlineStr"/>
      <c r="M14" s="8" t="inlineStr"/>
      <c r="N14" s="7">
        <f>IF(L14&gt;0,M14/L14,"")</f>
        <v/>
      </c>
      <c r="O14" s="8" t="inlineStr">
        <is>
          <t>Skip</t>
        </is>
      </c>
      <c r="P14" s="8" t="inlineStr">
        <is>
          <t>Removed from plan - US-only program</t>
        </is>
      </c>
    </row>
    <row r="16">
      <c r="A16" s="9" t="inlineStr">
        <is>
          <t>Example of a filled row: Status='Assessment', Date applied=21-Aug-2026, Hours logged=6, Rs earned=36000 -&gt; Effective Rs/h computes to 6,000.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26" customWidth="1" min="4" max="4"/>
    <col width="34" customWidth="1" min="5" max="5"/>
    <col width="18" customWidth="1" min="6" max="6"/>
    <col width="30" customWidth="1" min="7" max="7"/>
    <col width="16" customWidth="1" min="8" max="8"/>
    <col width="12" customWidth="1" min="9" max="9"/>
    <col width="12" customWidth="1" min="10" max="10"/>
    <col width="8" customWidth="1" min="11" max="11"/>
    <col width="24" customWidth="1" min="12" max="12"/>
    <col width="26" customWidth="1" min="13" max="13"/>
  </cols>
  <sheetData>
    <row r="1">
      <c r="A1" s="6" t="inlineStr">
        <is>
          <t>#</t>
        </is>
      </c>
      <c r="B1" s="6" t="inlineStr">
        <is>
          <t>Company / target</t>
        </is>
      </c>
      <c r="C1" s="6" t="inlineStr">
        <is>
          <t>HQ</t>
        </is>
      </c>
      <c r="D1" s="6" t="inlineStr">
        <is>
          <t>Focus</t>
        </is>
      </c>
      <c r="E1" s="6" t="inlineStr">
        <is>
          <t>Why them</t>
        </is>
      </c>
      <c r="F1" s="6" t="inlineStr">
        <is>
          <t>Contact channel</t>
        </is>
      </c>
      <c r="G1" s="6" t="inlineStr">
        <is>
          <t>Guessed email (VERIFY before sending)</t>
        </is>
      </c>
      <c r="H1" s="6" t="inlineStr">
        <is>
          <t>Gmail draft</t>
        </is>
      </c>
      <c r="I1" s="6" t="inlineStr">
        <is>
          <t>Status</t>
        </is>
      </c>
      <c r="J1" s="6" t="inlineStr">
        <is>
          <t>Date sent</t>
        </is>
      </c>
      <c r="K1" s="6" t="inlineStr">
        <is>
          <t>Reply?</t>
        </is>
      </c>
      <c r="L1" s="6" t="inlineStr">
        <is>
          <t>Next step</t>
        </is>
      </c>
      <c r="M1" s="6" t="inlineStr">
        <is>
          <t>Notes</t>
        </is>
      </c>
    </row>
    <row r="2">
      <c r="A2" s="7" t="n">
        <v>1</v>
      </c>
      <c r="B2" s="7" t="inlineStr">
        <is>
          <t>Qure.ai</t>
        </is>
      </c>
      <c r="C2" s="7" t="inlineStr">
        <is>
          <t>Mumbai, India / NYC</t>
        </is>
      </c>
      <c r="D2" s="7" t="inlineStr">
        <is>
          <t>MSK fracture X-ray AI</t>
        </is>
      </c>
      <c r="E2" s="7" t="inlineStr">
        <is>
          <t>Indian roots; MSK product line; note: no ortho job openings - this is a VENDOR pitch, not an application</t>
        </is>
      </c>
      <c r="F2" s="7" t="inlineStr">
        <is>
          <t>Email + LinkedIn</t>
        </is>
      </c>
      <c r="G2" s="8" t="inlineStr">
        <is>
          <t>partner@qure.ai (VERIFIED - partnerships address; careers@qure.ai exists separately)</t>
        </is>
      </c>
      <c r="H2" s="7" t="inlineStr">
        <is>
          <t>SENT</t>
        </is>
      </c>
      <c r="I2" s="8" t="inlineStr">
        <is>
          <t>Sent 20-Aug-2026</t>
        </is>
      </c>
      <c r="J2" s="8" t="inlineStr"/>
      <c r="K2" s="8" t="inlineStr"/>
      <c r="L2" s="8" t="inlineStr">
        <is>
          <t>Await reply; follow up in 7-10 days if none</t>
        </is>
      </c>
      <c r="M2" s="8" t="inlineStr"/>
    </row>
    <row r="3">
      <c r="A3" s="7" t="n">
        <v>2</v>
      </c>
      <c r="B3" s="7" t="inlineStr">
        <is>
          <t>DeepTek</t>
        </is>
      </c>
      <c r="C3" s="7" t="inlineStr">
        <is>
          <t>Pune, India</t>
        </is>
      </c>
      <c r="D3" s="7" t="inlineStr">
        <is>
          <t>Knee joint-space-narrowing AI</t>
        </is>
      </c>
      <c r="E3" s="7" t="inlineStr">
        <is>
          <t>Indian; knee product = direct ortho fit</t>
        </is>
      </c>
      <c r="F3" s="7" t="inlineStr">
        <is>
          <t>Email + LinkedIn + phone</t>
        </is>
      </c>
      <c r="G3" s="8" t="inlineStr">
        <is>
          <t>info@deeptek.ai (VERIFIED, official site) | ph +91 96070 82012</t>
        </is>
      </c>
      <c r="H3" s="7" t="inlineStr">
        <is>
          <t>SENT</t>
        </is>
      </c>
      <c r="I3" s="8" t="inlineStr">
        <is>
          <t>Sent 20-Aug-2026</t>
        </is>
      </c>
      <c r="J3" s="8" t="inlineStr"/>
      <c r="K3" s="8" t="inlineStr"/>
      <c r="L3" s="8" t="inlineStr">
        <is>
          <t>Await reply; follow up in 7-10 days if none</t>
        </is>
      </c>
      <c r="M3" s="8" t="inlineStr"/>
    </row>
    <row r="4">
      <c r="A4" s="7" t="n">
        <v>3</v>
      </c>
      <c r="B4" s="7" t="inlineStr">
        <is>
          <t>ImageBiopsy Lab</t>
        </is>
      </c>
      <c r="C4" s="7" t="inlineStr">
        <is>
          <t>Vienna, Austria</t>
        </is>
      </c>
      <c r="D4" s="7" t="inlineStr">
        <is>
          <t>Leading MSK imaging AI (incl. RBfracture)</t>
        </is>
      </c>
      <c r="E4" s="7" t="inlineStr">
        <is>
          <t>Category leader in MSK</t>
        </is>
      </c>
      <c r="F4" s="7" t="inlineStr">
        <is>
          <t>Email + LinkedIn</t>
        </is>
      </c>
      <c r="G4" s="8" t="inlineStr">
        <is>
          <t>info@imagebiopsy.com (VERIFIED, official contact page; support@ for existing customers)</t>
        </is>
      </c>
      <c r="H4" s="7" t="inlineStr">
        <is>
          <t>SENT</t>
        </is>
      </c>
      <c r="I4" s="8" t="inlineStr">
        <is>
          <t>Sent 20-Aug-2026</t>
        </is>
      </c>
      <c r="J4" s="8" t="inlineStr"/>
      <c r="K4" s="8" t="inlineStr"/>
      <c r="L4" s="8" t="inlineStr">
        <is>
          <t>Await reply; follow up in 7-10 days if none</t>
        </is>
      </c>
      <c r="M4" s="8" t="inlineStr"/>
    </row>
    <row r="5">
      <c r="A5" s="7" t="n">
        <v>4</v>
      </c>
      <c r="B5" s="7" t="inlineStr">
        <is>
          <t>Gleamer</t>
        </is>
      </c>
      <c r="C5" s="7" t="inlineStr">
        <is>
          <t>Paris, France</t>
        </is>
      </c>
      <c r="D5" s="7" t="inlineStr">
        <is>
          <t>BoneView trauma X-ray AI (CE+FDA)</t>
        </is>
      </c>
      <c r="E5" s="7" t="inlineStr">
        <is>
          <t>Flagship fracture AI; publishes validation studies</t>
        </is>
      </c>
      <c r="F5" s="7" t="inlineStr">
        <is>
          <t>Email + LinkedIn</t>
        </is>
      </c>
      <c r="G5" s="8" t="inlineStr">
        <is>
          <t>contact@gleamer.ai (VERIFIED via healthcare-in-europe directory)</t>
        </is>
      </c>
      <c r="H5" s="7" t="inlineStr">
        <is>
          <t>SENT</t>
        </is>
      </c>
      <c r="I5" s="8" t="inlineStr">
        <is>
          <t>Sent 20-Aug-2026</t>
        </is>
      </c>
      <c r="J5" s="8" t="inlineStr"/>
      <c r="K5" s="8" t="inlineStr"/>
      <c r="L5" s="8" t="inlineStr">
        <is>
          <t>Await reply; follow up in 7-10 days if none</t>
        </is>
      </c>
      <c r="M5" s="8" t="inlineStr"/>
    </row>
    <row r="6">
      <c r="A6" s="7" t="n">
        <v>5</v>
      </c>
      <c r="B6" s="7" t="inlineStr">
        <is>
          <t>Radiobotics</t>
        </is>
      </c>
      <c r="C6" s="7" t="inlineStr">
        <is>
          <t>Copenhagen, Denmark</t>
        </is>
      </c>
      <c r="D6" s="7" t="inlineStr">
        <is>
          <t>RBfracture MSK AI</t>
        </is>
      </c>
      <c r="E6" s="7" t="inlineStr">
        <is>
          <t>MSK-dedicated MedTech</t>
        </is>
      </c>
      <c r="F6" s="7" t="inlineStr">
        <is>
          <t>Email + LinkedIn</t>
        </is>
      </c>
      <c r="G6" s="8" t="inlineStr">
        <is>
          <t>info@radiobotics.com (VERIFIED via directory)</t>
        </is>
      </c>
      <c r="H6" s="7" t="inlineStr">
        <is>
          <t>SENT</t>
        </is>
      </c>
      <c r="I6" s="8" t="inlineStr">
        <is>
          <t>Sent 20-Aug-2026</t>
        </is>
      </c>
      <c r="J6" s="8" t="inlineStr"/>
      <c r="K6" s="8" t="inlineStr"/>
      <c r="L6" s="8" t="inlineStr">
        <is>
          <t>Await reply; follow up in 7-10 days if none</t>
        </is>
      </c>
      <c r="M6" s="8" t="inlineStr"/>
    </row>
    <row r="7">
      <c r="A7" s="7" t="n">
        <v>6</v>
      </c>
      <c r="B7" s="7" t="inlineStr">
        <is>
          <t>AZmed</t>
        </is>
      </c>
      <c r="C7" s="7" t="inlineStr">
        <is>
          <t>Paris, France</t>
        </is>
      </c>
      <c r="D7" s="7" t="inlineStr">
        <is>
          <t>Rayvolve fracture AI</t>
        </is>
      </c>
      <c r="E7" s="7" t="inlineStr">
        <is>
          <t>Sensitivity-led claims need validation evidence</t>
        </is>
      </c>
      <c r="F7" s="7" t="inlineStr">
        <is>
          <t>Email + LinkedIn + web form</t>
        </is>
      </c>
      <c r="G7" s="8" t="inlineStr">
        <is>
          <t>anthony@azmed.co (directory-sourced named contact; no general address published - azmed.co/contact form is the official route)</t>
        </is>
      </c>
      <c r="H7" s="7" t="inlineStr">
        <is>
          <t>SENT</t>
        </is>
      </c>
      <c r="I7" s="8" t="inlineStr">
        <is>
          <t>Sent 20-Aug-2026</t>
        </is>
      </c>
      <c r="J7" s="8" t="inlineStr"/>
      <c r="K7" s="8" t="inlineStr"/>
      <c r="L7" s="8" t="inlineStr">
        <is>
          <t>Watch for bounce -&gt; if bounced, submit via azmed.co/contact form</t>
        </is>
      </c>
      <c r="M7" s="8" t="inlineStr"/>
    </row>
    <row r="8">
      <c r="A8" s="7" t="n">
        <v>7</v>
      </c>
      <c r="B8" s="7" t="inlineStr">
        <is>
          <t>Lunit</t>
        </is>
      </c>
      <c r="C8" s="7" t="inlineStr">
        <is>
          <t>Seoul, Korea</t>
        </is>
      </c>
      <c r="D8" s="7" t="inlineStr">
        <is>
          <t>Radiology AI (MSK lines)</t>
        </is>
      </c>
      <c r="E8" s="7" t="inlineStr">
        <is>
          <t>Large, research-active</t>
        </is>
      </c>
      <c r="F8" s="7" t="inlineStr">
        <is>
          <t>Email + LinkedIn</t>
        </is>
      </c>
      <c r="G8" s="8" t="inlineStr">
        <is>
          <t>partner@lunit.io (VERIFIED, official contact page; also contact@lunit.io)</t>
        </is>
      </c>
      <c r="H8" s="7" t="inlineStr">
        <is>
          <t>SENT</t>
        </is>
      </c>
      <c r="I8" s="8" t="inlineStr">
        <is>
          <t>Sent 20-Aug-2026</t>
        </is>
      </c>
      <c r="J8" s="8" t="inlineStr"/>
      <c r="K8" s="8" t="inlineStr"/>
      <c r="L8" s="8" t="inlineStr">
        <is>
          <t>Await reply; follow up in 7-10 days if none</t>
        </is>
      </c>
      <c r="M8" s="8" t="inlineStr"/>
    </row>
    <row r="9">
      <c r="A9" s="7" t="n">
        <v>8</v>
      </c>
      <c r="B9" s="7" t="inlineStr">
        <is>
          <t>Aidoc</t>
        </is>
      </c>
      <c r="C9" s="7" t="inlineStr">
        <is>
          <t>Tel Aviv / NYC</t>
        </is>
      </c>
      <c r="D9" s="7" t="inlineStr">
        <is>
          <t>Radiology AI triage</t>
        </is>
      </c>
      <c r="E9" s="7" t="inlineStr">
        <is>
          <t>Broad portfolio incl. trauma</t>
        </is>
      </c>
      <c r="F9" s="7" t="inlineStr">
        <is>
          <t>Email + LinkedIn</t>
        </is>
      </c>
      <c r="G9" s="8" t="inlineStr">
        <is>
          <t>info@aidoc.com (VERIFIED via directory)</t>
        </is>
      </c>
      <c r="H9" s="7" t="inlineStr">
        <is>
          <t>SENT</t>
        </is>
      </c>
      <c r="I9" s="8" t="inlineStr">
        <is>
          <t>Sent 20-Aug-2026</t>
        </is>
      </c>
      <c r="J9" s="8" t="inlineStr"/>
      <c r="K9" s="8" t="inlineStr"/>
      <c r="L9" s="8" t="inlineStr">
        <is>
          <t>Await reply; follow up in 7-10 days if none</t>
        </is>
      </c>
      <c r="M9" s="8" t="inlineStr"/>
    </row>
    <row r="10">
      <c r="A10" s="7" t="n">
        <v>9</v>
      </c>
      <c r="B10" s="7" t="inlineStr">
        <is>
          <t>Annalise.ai (harrison.ai)</t>
        </is>
      </c>
      <c r="C10" s="7" t="inlineStr">
        <is>
          <t>Sydney, Australia</t>
        </is>
      </c>
      <c r="D10" s="7" t="inlineStr">
        <is>
          <t>Comprehensive CXR/CT AI</t>
        </is>
      </c>
      <c r="E10" s="7" t="inlineStr">
        <is>
          <t>Research-heavy; publishes reader studies</t>
        </is>
      </c>
      <c r="F10" s="7" t="inlineStr">
        <is>
          <t>WEB FORM (no public email; staff use @harrison.ai)</t>
        </is>
      </c>
      <c r="G10" s="8" t="inlineStr">
        <is>
          <t>NO EMAIL - use usa.annalise.ai/contact/general-enquiry; paste draft text</t>
        </is>
      </c>
      <c r="H10" s="7" t="inlineStr">
        <is>
          <t>Draft text ready (paste into form)</t>
        </is>
      </c>
      <c r="I10" s="8" t="inlineStr">
        <is>
          <t>Not sent</t>
        </is>
      </c>
      <c r="J10" s="8" t="inlineStr"/>
      <c r="K10" s="8" t="inlineStr"/>
      <c r="L10" s="8" t="inlineStr">
        <is>
          <t>Submit via form, wave 3</t>
        </is>
      </c>
      <c r="M10" s="8" t="inlineStr"/>
    </row>
    <row r="11">
      <c r="A11" s="7" t="n">
        <v>10</v>
      </c>
      <c r="B11" s="7" t="inlineStr">
        <is>
          <t>AI-lab health teams (OpenAI / Anthropic / Google)</t>
        </is>
      </c>
      <c r="C11" s="7" t="inlineStr">
        <is>
          <t>USA</t>
        </is>
      </c>
      <c r="D11" s="7" t="inlineStr">
        <is>
          <t>Physician advisor programs, rubric design</t>
        </is>
      </c>
      <c r="E11" s="7" t="inlineStr">
        <is>
          <t>HealthBench-style physician rubric programs</t>
        </is>
      </c>
      <c r="F11" s="7" t="inlineStr">
        <is>
          <t>Careers pages + platform postings</t>
        </is>
      </c>
      <c r="G11" s="8" t="inlineStr">
        <is>
          <t>N/A - apply via portal</t>
        </is>
      </c>
      <c r="H11" s="7" t="inlineStr">
        <is>
          <t>N/A</t>
        </is>
      </c>
      <c r="I11" s="8" t="inlineStr">
        <is>
          <t>Not started</t>
        </is>
      </c>
      <c r="J11" s="8" t="inlineStr"/>
      <c r="K11" s="8" t="inlineStr"/>
      <c r="L11" s="8" t="inlineStr">
        <is>
          <t>Watch physician-advisor postings weekly</t>
        </is>
      </c>
      <c r="M11" s="8" t="inlineStr"/>
    </row>
    <row r="12">
      <c r="A12" s="7" t="n">
        <v>11</v>
      </c>
      <c r="B12" s="7" t="inlineStr">
        <is>
          <t>Ortho question-bank / med-ed companies (fill 3-4 names)</t>
        </is>
      </c>
      <c r="C12" s="7" t="inlineStr"/>
      <c r="D12" s="7" t="inlineStr">
        <is>
          <t>Ortho MCQ + teaching content</t>
        </is>
      </c>
      <c r="E12" s="7" t="inlineStr">
        <is>
          <t>Editor credential fits item-writing QA</t>
        </is>
      </c>
      <c r="F12" s="7" t="inlineStr">
        <is>
          <t>LinkedIn</t>
        </is>
      </c>
      <c r="G12" s="8" t="inlineStr"/>
      <c r="H12" s="7" t="inlineStr">
        <is>
          <t>To draft after naming</t>
        </is>
      </c>
      <c r="I12" s="8" t="inlineStr">
        <is>
          <t>Not started</t>
        </is>
      </c>
      <c r="J12" s="8" t="inlineStr"/>
      <c r="K12" s="8" t="inlineStr"/>
      <c r="L12" s="8" t="inlineStr">
        <is>
          <t>Identify names in Monday scan</t>
        </is>
      </c>
      <c r="M12" s="8" t="inlineStr"/>
    </row>
    <row r="13">
      <c r="A13" s="7" t="n">
        <v>12</v>
      </c>
      <c r="B13" s="7" t="inlineStr">
        <is>
          <t>Ortho device firms needing clinical evidence (fill 3-4 names)</t>
        </is>
      </c>
      <c r="C13" s="7" t="inlineStr"/>
      <c r="D13" s="7" t="inlineStr">
        <is>
          <t>Post-market studies, protocol review</t>
        </is>
      </c>
      <c r="E13" s="7" t="inlineStr">
        <is>
          <t>Surgeon + methodology fit</t>
        </is>
      </c>
      <c r="F13" s="7" t="inlineStr">
        <is>
          <t>LinkedIn</t>
        </is>
      </c>
      <c r="G13" s="8" t="inlineStr"/>
      <c r="H13" s="7" t="inlineStr">
        <is>
          <t>To draft after naming</t>
        </is>
      </c>
      <c r="I13" s="8" t="inlineStr">
        <is>
          <t>Not started</t>
        </is>
      </c>
      <c r="J13" s="8" t="inlineStr"/>
      <c r="K13" s="8" t="inlineStr"/>
      <c r="L13" s="8" t="inlineStr"/>
      <c r="M13" s="8" t="inlineStr"/>
    </row>
    <row r="15">
      <c r="A15" s="9" t="inlineStr">
        <is>
          <t>Target: 20 contacts total by end of Month 2; &gt;=3 replies. Emails are DRAFTS in Gmail - verify each address, personalise line 3, attach portfolio link, then send.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14" customWidth="1" min="4" max="4"/>
    <col width="30" customWidth="1" min="5" max="5"/>
    <col width="14" customWidth="1" min="6" max="6"/>
    <col width="14" customWidth="1" min="7" max="7"/>
    <col width="12" customWidth="1" min="8" max="8"/>
    <col width="12" customWidth="1" min="9" max="9"/>
    <col width="16" customWidth="1" min="10" max="10"/>
    <col width="40" customWidth="1" min="11" max="11"/>
  </cols>
  <sheetData>
    <row r="1">
      <c r="A1" s="6" t="inlineStr">
        <is>
          <t>Platform</t>
        </is>
      </c>
      <c r="B1" s="6" t="inlineStr">
        <is>
          <t>Model</t>
        </is>
      </c>
      <c r="C1" s="6" t="inlineStr">
        <is>
          <t>What to list</t>
        </is>
      </c>
      <c r="D1" s="6" t="inlineStr">
        <is>
          <t>Fee you set (Rs)</t>
        </is>
      </c>
      <c r="E1" s="6" t="inlineStr">
        <is>
          <t>Platform cut / listing cost</t>
        </is>
      </c>
      <c r="F1" s="6" t="inlineStr">
        <is>
          <t>Status</t>
        </is>
      </c>
      <c r="G1" s="6" t="inlineStr">
        <is>
          <t>Profile live date</t>
        </is>
      </c>
      <c r="H1" s="6" t="inlineStr">
        <is>
          <t>Consults/mo</t>
        </is>
      </c>
      <c r="I1" s="6" t="inlineStr">
        <is>
          <t>Rs earned (mo)</t>
        </is>
      </c>
      <c r="J1" s="6" t="inlineStr">
        <is>
          <t>Second-opinion conversions</t>
        </is>
      </c>
      <c r="K1" s="6" t="inlineStr">
        <is>
          <t>Notes</t>
        </is>
      </c>
    </row>
    <row r="2">
      <c r="A2" s="7" t="inlineStr">
        <is>
          <t>Practo</t>
        </is>
      </c>
      <c r="B2" s="7" t="inlineStr">
        <is>
          <t>Consult listing + online consult</t>
        </is>
      </c>
      <c r="C2" s="7" t="inlineStr">
        <is>
          <t>Video consult + paid Q&amp;A; route written second opinions to own MVP</t>
        </is>
      </c>
      <c r="D2" s="8" t="n">
        <v>500</v>
      </c>
      <c r="E2" s="7" t="inlineStr">
        <is>
          <t>Verify current commission &amp; subscription in dashboard</t>
        </is>
      </c>
      <c r="F2" s="8" t="inlineStr">
        <is>
          <t>Decide fee</t>
        </is>
      </c>
      <c r="G2" s="8" t="inlineStr"/>
      <c r="H2" s="8" t="inlineStr"/>
      <c r="I2" s="8" t="inlineStr"/>
      <c r="J2" s="8" t="inlineStr"/>
      <c r="K2" s="8" t="inlineStr">
        <is>
          <t>You said you can work on this - fastest external channel; keep pricing consistent with own MVP</t>
        </is>
      </c>
    </row>
    <row r="3">
      <c r="A3" s="7" t="inlineStr">
        <is>
          <t>Apollo 24|7</t>
        </is>
      </c>
      <c r="B3" s="7" t="inlineStr">
        <is>
          <t>Online consult marketplace</t>
        </is>
      </c>
      <c r="C3" s="7" t="inlineStr">
        <is>
          <t>Video consult</t>
        </is>
      </c>
      <c r="D3" s="8" t="n">
        <v>500</v>
      </c>
      <c r="E3" s="7" t="inlineStr">
        <is>
          <t>Verify onboarding terms</t>
        </is>
      </c>
      <c r="F3" s="8" t="inlineStr">
        <is>
          <t>Not started</t>
        </is>
      </c>
      <c r="G3" s="8" t="inlineStr"/>
      <c r="H3" s="8" t="inlineStr"/>
      <c r="I3" s="8" t="inlineStr"/>
      <c r="J3" s="8" t="inlineStr"/>
      <c r="K3" s="8" t="inlineStr"/>
    </row>
    <row r="4">
      <c r="A4" s="7" t="inlineStr">
        <is>
          <t>Tata 1mg</t>
        </is>
      </c>
      <c r="B4" s="7" t="inlineStr">
        <is>
          <t>Online consult</t>
        </is>
      </c>
      <c r="C4" s="7" t="inlineStr">
        <is>
          <t>Video consult</t>
        </is>
      </c>
      <c r="D4" s="8" t="n">
        <v>500</v>
      </c>
      <c r="E4" s="7" t="inlineStr">
        <is>
          <t>Verify onboarding terms</t>
        </is>
      </c>
      <c r="F4" s="8" t="inlineStr">
        <is>
          <t>Not started</t>
        </is>
      </c>
      <c r="G4" s="8" t="inlineStr"/>
      <c r="H4" s="8" t="inlineStr"/>
      <c r="I4" s="8" t="inlineStr"/>
      <c r="J4" s="8" t="inlineStr"/>
      <c r="K4" s="8" t="inlineStr"/>
    </row>
    <row r="5">
      <c r="A5" s="7" t="inlineStr">
        <is>
          <t>Lybrate</t>
        </is>
      </c>
      <c r="B5" s="7" t="inlineStr">
        <is>
          <t>Consult + Q&amp;A</t>
        </is>
      </c>
      <c r="C5" s="7" t="inlineStr">
        <is>
          <t>Paid Q&amp;A builds visibility</t>
        </is>
      </c>
      <c r="D5" s="8" t="n">
        <v>300</v>
      </c>
      <c r="E5" s="7" t="inlineStr">
        <is>
          <t>Verify</t>
        </is>
      </c>
      <c r="F5" s="8" t="inlineStr">
        <is>
          <t>Not started</t>
        </is>
      </c>
      <c r="G5" s="8" t="inlineStr"/>
      <c r="H5" s="8" t="inlineStr"/>
      <c r="I5" s="8" t="inlineStr"/>
      <c r="J5" s="8" t="inlineStr"/>
      <c r="K5" s="8" t="inlineStr"/>
    </row>
    <row r="6">
      <c r="A6" s="7" t="inlineStr">
        <is>
          <t>Own MVP (orthoos-v2 C7)</t>
        </is>
      </c>
      <c r="B6" s="7" t="inlineStr">
        <is>
          <t>Direct: landing page + Razorpay + Calendar</t>
        </is>
      </c>
      <c r="C6" s="7" t="inlineStr">
        <is>
          <t>Structured written opinion + 15-min video</t>
        </is>
      </c>
      <c r="D6" s="8" t="n">
        <v>2000</v>
      </c>
      <c r="E6" s="7" t="inlineStr">
        <is>
          <t>Razorpay ~2% gateway fee</t>
        </is>
      </c>
      <c r="F6" s="8" t="inlineStr">
        <is>
          <t>Awaiting B3 build</t>
        </is>
      </c>
      <c r="G6" s="8" t="inlineStr"/>
      <c r="H6" s="8" t="inlineStr"/>
      <c r="I6" s="8" t="inlineStr"/>
      <c r="J6" s="8" t="inlineStr"/>
      <c r="K6" s="8" t="inlineStr">
        <is>
          <t>The funnel product; aggregators feed it</t>
        </is>
      </c>
    </row>
    <row r="8">
      <c r="A8" s="9" t="inlineStr">
        <is>
          <t>Compliance: educational framing only; no superiority/outcome claims in any profile. Aggregator pricing kept at consult level; the Rs 2,000 structured written opinion stays on your own channel.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22" customWidth="1" min="7" max="7"/>
    <col width="10" customWidth="1" min="8" max="8"/>
    <col width="14" customWidth="1" min="9" max="9"/>
    <col width="12" customWidth="1" min="10" max="10"/>
    <col width="14" customWidth="1" min="11" max="11"/>
    <col width="12" customWidth="1" min="12" max="12"/>
  </cols>
  <sheetData>
    <row r="1">
      <c r="A1" s="6" t="inlineStr">
        <is>
          <t>Week of</t>
        </is>
      </c>
      <c r="B1" s="6" t="inlineStr">
        <is>
          <t>GBP calls</t>
        </is>
      </c>
      <c r="C1" s="6" t="inlineStr">
        <is>
          <t>WhatsApp leads</t>
        </is>
      </c>
      <c r="D1" s="6" t="inlineStr">
        <is>
          <t>Consults booked</t>
        </is>
      </c>
      <c r="E1" s="6" t="inlineStr">
        <is>
          <t>Show rate %</t>
        </is>
      </c>
      <c r="F1" s="6" t="inlineStr">
        <is>
          <t>Surgeries booked</t>
        </is>
      </c>
      <c r="G1" s="6" t="inlineStr">
        <is>
          <t>Source of each surgery</t>
        </is>
      </c>
      <c r="H1" s="6" t="inlineStr">
        <is>
          <t>Opinions sold</t>
        </is>
      </c>
      <c r="I1" s="6" t="inlineStr">
        <is>
          <t>Opinion-&gt;visit conversions</t>
        </is>
      </c>
      <c r="J1" s="6" t="inlineStr">
        <is>
          <t>Platform hours</t>
        </is>
      </c>
      <c r="K1" s="6" t="inlineStr">
        <is>
          <t>Platform Rs earned</t>
        </is>
      </c>
      <c r="L1" s="6" t="inlineStr">
        <is>
          <t>Effective Rs/h</t>
        </is>
      </c>
    </row>
    <row r="2">
      <c r="A2" s="10" t="inlineStr">
        <is>
          <t>25-Aug-2026 (example)</t>
        </is>
      </c>
      <c r="B2" s="10" t="n">
        <v>4</v>
      </c>
      <c r="C2" s="10" t="n">
        <v>6</v>
      </c>
      <c r="D2" s="10" t="n">
        <v>3</v>
      </c>
      <c r="E2" s="11" t="n">
        <v>0.67</v>
      </c>
      <c r="F2" s="10" t="n">
        <v>1</v>
      </c>
      <c r="G2" s="10" t="inlineStr">
        <is>
          <t>existing patient</t>
        </is>
      </c>
      <c r="H2" s="10" t="n">
        <v>2</v>
      </c>
      <c r="I2" s="10" t="n">
        <v>0</v>
      </c>
      <c r="J2" s="10" t="n">
        <v>5</v>
      </c>
      <c r="K2" s="10" t="n">
        <v>30000</v>
      </c>
      <c r="L2" s="12">
        <f>IF(J2&gt;0,K2/J2,"")</f>
        <v/>
      </c>
    </row>
    <row r="3">
      <c r="A3" s="8" t="n"/>
      <c r="B3" s="8" t="n"/>
      <c r="C3" s="8" t="n"/>
      <c r="D3" s="8" t="n"/>
      <c r="E3" s="13" t="n"/>
      <c r="F3" s="8" t="n"/>
      <c r="G3" s="8" t="n"/>
      <c r="H3" s="8" t="n"/>
      <c r="I3" s="8" t="n"/>
      <c r="J3" s="8" t="n"/>
      <c r="K3" s="8" t="n"/>
      <c r="L3" s="7">
        <f>IF(J3&gt;0,K3/J3,"")</f>
        <v/>
      </c>
    </row>
    <row r="4">
      <c r="A4" s="8" t="n"/>
      <c r="B4" s="8" t="n"/>
      <c r="C4" s="8" t="n"/>
      <c r="D4" s="8" t="n"/>
      <c r="E4" s="13" t="n"/>
      <c r="F4" s="8" t="n"/>
      <c r="G4" s="8" t="n"/>
      <c r="H4" s="8" t="n"/>
      <c r="I4" s="8" t="n"/>
      <c r="J4" s="8" t="n"/>
      <c r="K4" s="8" t="n"/>
      <c r="L4" s="7">
        <f>IF(J4&gt;0,K4/J4,"")</f>
        <v/>
      </c>
    </row>
    <row r="5">
      <c r="A5" s="8" t="n"/>
      <c r="B5" s="8" t="n"/>
      <c r="C5" s="8" t="n"/>
      <c r="D5" s="8" t="n"/>
      <c r="E5" s="13" t="n"/>
      <c r="F5" s="8" t="n"/>
      <c r="G5" s="8" t="n"/>
      <c r="H5" s="8" t="n"/>
      <c r="I5" s="8" t="n"/>
      <c r="J5" s="8" t="n"/>
      <c r="K5" s="8" t="n"/>
      <c r="L5" s="7">
        <f>IF(J5&gt;0,K5/J5,"")</f>
        <v/>
      </c>
    </row>
    <row r="6">
      <c r="A6" s="8" t="n"/>
      <c r="B6" s="8" t="n"/>
      <c r="C6" s="8" t="n"/>
      <c r="D6" s="8" t="n"/>
      <c r="E6" s="13" t="n"/>
      <c r="F6" s="8" t="n"/>
      <c r="G6" s="8" t="n"/>
      <c r="H6" s="8" t="n"/>
      <c r="I6" s="8" t="n"/>
      <c r="J6" s="8" t="n"/>
      <c r="K6" s="8" t="n"/>
      <c r="L6" s="7">
        <f>IF(J6&gt;0,K6/J6,"")</f>
        <v/>
      </c>
    </row>
    <row r="7">
      <c r="A7" s="8" t="n"/>
      <c r="B7" s="8" t="n"/>
      <c r="C7" s="8" t="n"/>
      <c r="D7" s="8" t="n"/>
      <c r="E7" s="13" t="n"/>
      <c r="F7" s="8" t="n"/>
      <c r="G7" s="8" t="n"/>
      <c r="H7" s="8" t="n"/>
      <c r="I7" s="8" t="n"/>
      <c r="J7" s="8" t="n"/>
      <c r="K7" s="8" t="n"/>
      <c r="L7" s="7">
        <f>IF(J7&gt;0,K7/J7,"")</f>
        <v/>
      </c>
    </row>
    <row r="8">
      <c r="A8" s="8" t="n"/>
      <c r="B8" s="8" t="n"/>
      <c r="C8" s="8" t="n"/>
      <c r="D8" s="8" t="n"/>
      <c r="E8" s="13" t="n"/>
      <c r="F8" s="8" t="n"/>
      <c r="G8" s="8" t="n"/>
      <c r="H8" s="8" t="n"/>
      <c r="I8" s="8" t="n"/>
      <c r="J8" s="8" t="n"/>
      <c r="K8" s="8" t="n"/>
      <c r="L8" s="7">
        <f>IF(J8&gt;0,K8/J8,"")</f>
        <v/>
      </c>
    </row>
    <row r="9">
      <c r="A9" s="8" t="n"/>
      <c r="B9" s="8" t="n"/>
      <c r="C9" s="8" t="n"/>
      <c r="D9" s="8" t="n"/>
      <c r="E9" s="13" t="n"/>
      <c r="F9" s="8" t="n"/>
      <c r="G9" s="8" t="n"/>
      <c r="H9" s="8" t="n"/>
      <c r="I9" s="8" t="n"/>
      <c r="J9" s="8" t="n"/>
      <c r="K9" s="8" t="n"/>
      <c r="L9" s="7">
        <f>IF(J9&gt;0,K9/J9,"")</f>
        <v/>
      </c>
    </row>
    <row r="10">
      <c r="A10" s="8" t="n"/>
      <c r="B10" s="8" t="n"/>
      <c r="C10" s="8" t="n"/>
      <c r="D10" s="8" t="n"/>
      <c r="E10" s="13" t="n"/>
      <c r="F10" s="8" t="n"/>
      <c r="G10" s="8" t="n"/>
      <c r="H10" s="8" t="n"/>
      <c r="I10" s="8" t="n"/>
      <c r="J10" s="8" t="n"/>
      <c r="K10" s="8" t="n"/>
      <c r="L10" s="7">
        <f>IF(J10&gt;0,K10/J10,"")</f>
        <v/>
      </c>
    </row>
    <row r="11">
      <c r="A11" s="8" t="n"/>
      <c r="B11" s="8" t="n"/>
      <c r="C11" s="8" t="n"/>
      <c r="D11" s="8" t="n"/>
      <c r="E11" s="13" t="n"/>
      <c r="F11" s="8" t="n"/>
      <c r="G11" s="8" t="n"/>
      <c r="H11" s="8" t="n"/>
      <c r="I11" s="8" t="n"/>
      <c r="J11" s="8" t="n"/>
      <c r="K11" s="8" t="n"/>
      <c r="L11" s="7">
        <f>IF(J11&gt;0,K11/J11,"")</f>
        <v/>
      </c>
    </row>
    <row r="12">
      <c r="A12" s="8" t="n"/>
      <c r="B12" s="8" t="n"/>
      <c r="C12" s="8" t="n"/>
      <c r="D12" s="8" t="n"/>
      <c r="E12" s="13" t="n"/>
      <c r="F12" s="8" t="n"/>
      <c r="G12" s="8" t="n"/>
      <c r="H12" s="8" t="n"/>
      <c r="I12" s="8" t="n"/>
      <c r="J12" s="8" t="n"/>
      <c r="K12" s="8" t="n"/>
      <c r="L12" s="7">
        <f>IF(J12&gt;0,K12/J12,"")</f>
        <v/>
      </c>
    </row>
    <row r="13">
      <c r="A13" s="8" t="n"/>
      <c r="B13" s="8" t="n"/>
      <c r="C13" s="8" t="n"/>
      <c r="D13" s="8" t="n"/>
      <c r="E13" s="13" t="n"/>
      <c r="F13" s="8" t="n"/>
      <c r="G13" s="8" t="n"/>
      <c r="H13" s="8" t="n"/>
      <c r="I13" s="8" t="n"/>
      <c r="J13" s="8" t="n"/>
      <c r="K13" s="8" t="n"/>
      <c r="L13" s="7">
        <f>IF(J13&gt;0,K13/J13,"")</f>
        <v/>
      </c>
    </row>
    <row r="14">
      <c r="A14" s="8" t="n"/>
      <c r="B14" s="8" t="n"/>
      <c r="C14" s="8" t="n"/>
      <c r="D14" s="8" t="n"/>
      <c r="E14" s="13" t="n"/>
      <c r="F14" s="8" t="n"/>
      <c r="G14" s="8" t="n"/>
      <c r="H14" s="8" t="n"/>
      <c r="I14" s="8" t="n"/>
      <c r="J14" s="8" t="n"/>
      <c r="K14" s="8" t="n"/>
      <c r="L14" s="7">
        <f>IF(J14&gt;0,K14/J14,"")</f>
        <v/>
      </c>
    </row>
    <row r="15">
      <c r="A15" s="8" t="n"/>
      <c r="B15" s="8" t="n"/>
      <c r="C15" s="8" t="n"/>
      <c r="D15" s="8" t="n"/>
      <c r="E15" s="13" t="n"/>
      <c r="F15" s="8" t="n"/>
      <c r="G15" s="8" t="n"/>
      <c r="H15" s="8" t="n"/>
      <c r="I15" s="8" t="n"/>
      <c r="J15" s="8" t="n"/>
      <c r="K15" s="8" t="n"/>
      <c r="L15" s="7">
        <f>IF(J15&gt;0,K15/J15,"")</f>
        <v/>
      </c>
    </row>
    <row r="17">
      <c r="A17" s="9" t="inlineStr">
        <is>
          <t>Row 2 is an example - overwrite it with real week-1 numbers. Fill every Friday.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2026-08-20T10:54:34Z</dcterms:created>
  <dcterms:modified xsi:type="dcterms:W3CDTF">2026-08-20T10:54:34Z</dcterms:modified>
</cp:coreProperties>
</file>